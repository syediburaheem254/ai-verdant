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gs" sheetId="1" state="visible" r:id="rId3"/>
    <sheet name="Devices" sheetId="2" state="visible" r:id="rId4"/>
    <sheet name="Optimal Conditions" sheetId="3" state="visible" r:id="rId5"/>
    <sheet name="Live Statu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This tab is written to automatically by the AI Verdant backend (backend/sheets_integration.py) every time the sensor box sends a reading. Column order must stay exactly as-is for the backend to append correctly. The 3 rows below are examples showing the expected format — replace or delete them.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One row per sensor box. 'Crop Type' here must exactly match a row in the 'Optimal Conditions' tab so the Live Status tab can look up the right ranges.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Edit these ranges to match your own crop and climate. The 'Default / Custom' row mirrors IDEAL_RANGES in backend/config.py — keep the two in sync if you change one.</t>
        </r>
      </text>
    </comment>
  </commentList>
</comments>
</file>

<file path=xl/sharedStrings.xml><?xml version="1.0" encoding="utf-8"?>
<sst xmlns="http://schemas.openxmlformats.org/spreadsheetml/2006/main" count="71" uniqueCount="61">
  <si>
    <t xml:space="preserve">Timestamp</t>
  </si>
  <si>
    <t xml:space="preserve">Device ID</t>
  </si>
  <si>
    <t xml:space="preserve">Temperature (°C)</t>
  </si>
  <si>
    <t xml:space="preserve">Humidity (%)</t>
  </si>
  <si>
    <t xml:space="preserve">Soil Moisture (%)</t>
  </si>
  <si>
    <t xml:space="preserve">pH</t>
  </si>
  <si>
    <t xml:space="preserve">Water Level (cm)</t>
  </si>
  <si>
    <t xml:space="preserve">Motion Detected</t>
  </si>
  <si>
    <t xml:space="preserve">Overall Score</t>
  </si>
  <si>
    <t xml:space="preserve">2026-09-08T06:00:00</t>
  </si>
  <si>
    <t xml:space="preserve">device-001</t>
  </si>
  <si>
    <t xml:space="preserve">No</t>
  </si>
  <si>
    <t xml:space="preserve">2026-09-08T09:00:00</t>
  </si>
  <si>
    <t xml:space="preserve">2026-09-08T12:00:00</t>
  </si>
  <si>
    <t xml:space="preserve">Yes</t>
  </si>
  <si>
    <t xml:space="preserve">Name</t>
  </si>
  <si>
    <t xml:space="preserve">Farm Name</t>
  </si>
  <si>
    <t xml:space="preserve">Location</t>
  </si>
  <si>
    <t xml:space="preserve">Crop Type</t>
  </si>
  <si>
    <t xml:space="preserve">Created At</t>
  </si>
  <si>
    <t xml:space="preserve">Last Seen</t>
  </si>
  <si>
    <t xml:space="preserve">Field A Node</t>
  </si>
  <si>
    <t xml:space="preserve">Green Valley Farm</t>
  </si>
  <si>
    <t xml:space="preserve">North Plot</t>
  </si>
  <si>
    <t xml:space="preserve">Tomato</t>
  </si>
  <si>
    <t xml:space="preserve">2026-09-01</t>
  </si>
  <si>
    <t xml:space="preserve">2026-09-08</t>
  </si>
  <si>
    <t xml:space="preserve">Crop</t>
  </si>
  <si>
    <t xml:space="preserve">Temp Min (°C)</t>
  </si>
  <si>
    <t xml:space="preserve">Temp Max (°C)</t>
  </si>
  <si>
    <t xml:space="preserve">Humidity Min (%)</t>
  </si>
  <si>
    <t xml:space="preserve">Humidity Max (%)</t>
  </si>
  <si>
    <t xml:space="preserve">Soil Moisture Min (%)</t>
  </si>
  <si>
    <t xml:space="preserve">Soil Moisture Max (%)</t>
  </si>
  <si>
    <t xml:space="preserve">pH Min</t>
  </si>
  <si>
    <t xml:space="preserve">pH Max</t>
  </si>
  <si>
    <t xml:space="preserve">Notes</t>
  </si>
  <si>
    <t xml:space="preserve">Warm-season crop; watch for blossom-end rot below pH 6.0</t>
  </si>
  <si>
    <t xml:space="preserve">Lettuce</t>
  </si>
  <si>
    <t xml:space="preserve">Cool-season, shallow roots — needs consistently moist soil</t>
  </si>
  <si>
    <t xml:space="preserve">Rice (paddy)</t>
  </si>
  <si>
    <t xml:space="preserve">Soil moisture target reflects standing water in paddy systems</t>
  </si>
  <si>
    <t xml:space="preserve">Wheat</t>
  </si>
  <si>
    <t xml:space="preserve">Tolerant of drier soil than rice; sensitive to waterlogging</t>
  </si>
  <si>
    <t xml:space="preserve">Chili / Pepper</t>
  </si>
  <si>
    <t xml:space="preserve">Similar profile to tomato, slightly more heat-tolerant</t>
  </si>
  <si>
    <t xml:space="preserve">Default / Custom</t>
  </si>
  <si>
    <t xml:space="preserve">Matches backend/config.py default IDEAL_RANGES</t>
  </si>
  <si>
    <t xml:space="preserve">AI Verdant — Live Status</t>
  </si>
  <si>
    <t xml:space="preserve">Automatically compares the most recent row in 'Readings' against the ideal ranges for that device's crop (from 'Devices' + 'Optimal Conditions'). Everything below is a live formula — add a new row to Readings and this updates.</t>
  </si>
  <si>
    <t xml:space="preserve">Last row in Readings</t>
  </si>
  <si>
    <t xml:space="preserve">Latest Device ID</t>
  </si>
  <si>
    <t xml:space="preserve">Latest Timestamp</t>
  </si>
  <si>
    <t xml:space="preserve">Crop (from Devices)</t>
  </si>
  <si>
    <t xml:space="preserve">Metric</t>
  </si>
  <si>
    <t xml:space="preserve">Latest Value</t>
  </si>
  <si>
    <t xml:space="preserve">Ideal Min</t>
  </si>
  <si>
    <t xml:space="preserve">Ideal Max</t>
  </si>
  <si>
    <t xml:space="preserve">Status</t>
  </si>
  <si>
    <t xml:space="preserve">Score (0-100)</t>
  </si>
  <si>
    <t xml:space="preserve">Overall Condition 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</si>
</sst>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  <font>
      <b val="true"/>
      <sz val="15"/>
      <color rgb="FF1F3D2B"/>
      <name val="Arial"/>
      <family val="0"/>
      <charset val="1"/>
    </font>
    <font>
      <i val="true"/>
      <sz val="9.5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6"/>
      <color rgb="FF1F3D2B"/>
      <name val="Arial"/>
      <family val="0"/>
      <charset val="1"/>
    </font>
    <font>
      <i val="true"/>
      <sz val="11"/>
      <color rgb="FF1F3D2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D2B"/>
        <bgColor rgb="FF333300"/>
      </patternFill>
    </fill>
    <fill>
      <patternFill patternType="solid">
        <fgColor rgb="FFEAF3EC"/>
        <bgColor rgb="FFD9F7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F7E3"/>
        </patternFill>
      </fill>
    </dxf>
    <dxf>
      <fill>
        <patternFill>
          <bgColor rgb="FFFFEFD1"/>
        </patternFill>
      </fill>
    </dxf>
    <dxf>
      <fill>
        <patternFill>
          <bgColor rgb="FFFFE1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EFD1"/>
      <rgbColor rgb="FFEAF3EC"/>
      <rgbColor rgb="FF660066"/>
      <rgbColor rgb="FFFF8080"/>
      <rgbColor rgb="FF0066CC"/>
      <rgbColor rgb="FFFFE1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7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n">
        <v>24.5</v>
      </c>
      <c r="D2" s="3" t="n">
        <v>58</v>
      </c>
      <c r="E2" s="3" t="n">
        <v>61</v>
      </c>
      <c r="F2" s="3" t="n">
        <v>6.6</v>
      </c>
      <c r="G2" s="3" t="n">
        <v>42</v>
      </c>
      <c r="H2" s="2" t="s">
        <v>11</v>
      </c>
      <c r="I2" s="3" t="n">
        <v>92.4</v>
      </c>
    </row>
    <row r="3" customFormat="false" ht="15" hidden="false" customHeight="false" outlineLevel="0" collapsed="false">
      <c r="A3" s="2" t="s">
        <v>12</v>
      </c>
      <c r="B3" s="2" t="s">
        <v>10</v>
      </c>
      <c r="C3" s="3" t="n">
        <v>29.8</v>
      </c>
      <c r="D3" s="3" t="n">
        <v>39</v>
      </c>
      <c r="E3" s="3" t="n">
        <v>33</v>
      </c>
      <c r="F3" s="3" t="n">
        <v>6.9</v>
      </c>
      <c r="G3" s="3" t="n">
        <v>41.5</v>
      </c>
      <c r="H3" s="2" t="s">
        <v>11</v>
      </c>
      <c r="I3" s="3" t="n">
        <v>61.7</v>
      </c>
    </row>
    <row r="4" customFormat="false" ht="15" hidden="false" customHeight="false" outlineLevel="0" collapsed="false">
      <c r="A4" s="2" t="s">
        <v>13</v>
      </c>
      <c r="B4" s="2" t="s">
        <v>10</v>
      </c>
      <c r="C4" s="3" t="n">
        <v>33.1</v>
      </c>
      <c r="D4" s="3" t="n">
        <v>34</v>
      </c>
      <c r="E4" s="3" t="n">
        <v>27</v>
      </c>
      <c r="F4" s="3" t="n">
        <v>7.3</v>
      </c>
      <c r="G4" s="3" t="n">
        <v>40</v>
      </c>
      <c r="H4" s="2" t="s">
        <v>14</v>
      </c>
      <c r="I4" s="3" t="n">
        <v>38.2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5" style="0" width="14"/>
  </cols>
  <sheetData>
    <row r="1" customFormat="false" ht="25.5" hidden="false" customHeight="true" outlineLevel="0" collapsed="false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customFormat="false" ht="15" hidden="false" customHeight="false" outlineLevel="0" collapsed="false">
      <c r="A2" s="2" t="s">
        <v>10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5" min="4" style="0" width="15"/>
    <col collapsed="false" customWidth="true" hidden="false" outlineLevel="0" max="7" min="6" style="0" width="18"/>
    <col collapsed="false" customWidth="true" hidden="false" outlineLevel="0" max="9" min="8" style="0" width="9"/>
    <col collapsed="false" customWidth="true" hidden="false" outlineLevel="0" max="10" min="10" style="0" width="42"/>
  </cols>
  <sheetData>
    <row r="1" customFormat="false" ht="30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customFormat="false" ht="26.85" hidden="false" customHeight="false" outlineLevel="0" collapsed="false">
      <c r="A2" s="4" t="s">
        <v>24</v>
      </c>
      <c r="B2" s="5" t="n">
        <v>18</v>
      </c>
      <c r="C2" s="5" t="n">
        <v>30</v>
      </c>
      <c r="D2" s="5" t="n">
        <v>40</v>
      </c>
      <c r="E2" s="5" t="n">
        <v>70</v>
      </c>
      <c r="F2" s="5" t="n">
        <v>35</v>
      </c>
      <c r="G2" s="5" t="n">
        <v>65</v>
      </c>
      <c r="H2" s="5" t="n">
        <v>6</v>
      </c>
      <c r="I2" s="5" t="n">
        <v>6.8</v>
      </c>
      <c r="J2" s="6" t="s">
        <v>37</v>
      </c>
    </row>
    <row r="3" customFormat="false" ht="26.85" hidden="false" customHeight="false" outlineLevel="0" collapsed="false">
      <c r="A3" s="4" t="s">
        <v>38</v>
      </c>
      <c r="B3" s="5" t="n">
        <v>15</v>
      </c>
      <c r="C3" s="5" t="n">
        <v>22</v>
      </c>
      <c r="D3" s="5" t="n">
        <v>50</v>
      </c>
      <c r="E3" s="5" t="n">
        <v>70</v>
      </c>
      <c r="F3" s="5" t="n">
        <v>60</v>
      </c>
      <c r="G3" s="5" t="n">
        <v>80</v>
      </c>
      <c r="H3" s="5" t="n">
        <v>6</v>
      </c>
      <c r="I3" s="5" t="n">
        <v>7</v>
      </c>
      <c r="J3" s="6" t="s">
        <v>39</v>
      </c>
    </row>
    <row r="4" customFormat="false" ht="26.85" hidden="false" customHeight="false" outlineLevel="0" collapsed="false">
      <c r="A4" s="4" t="s">
        <v>40</v>
      </c>
      <c r="B4" s="5" t="n">
        <v>20</v>
      </c>
      <c r="C4" s="5" t="n">
        <v>35</v>
      </c>
      <c r="D4" s="5" t="n">
        <v>60</v>
      </c>
      <c r="E4" s="5" t="n">
        <v>90</v>
      </c>
      <c r="F4" s="5" t="n">
        <v>80</v>
      </c>
      <c r="G4" s="5" t="n">
        <v>100</v>
      </c>
      <c r="H4" s="5" t="n">
        <v>5.5</v>
      </c>
      <c r="I4" s="5" t="n">
        <v>6.5</v>
      </c>
      <c r="J4" s="6" t="s">
        <v>41</v>
      </c>
    </row>
    <row r="5" customFormat="false" ht="26.85" hidden="false" customHeight="false" outlineLevel="0" collapsed="false">
      <c r="A5" s="4" t="s">
        <v>42</v>
      </c>
      <c r="B5" s="5" t="n">
        <v>15</v>
      </c>
      <c r="C5" s="5" t="n">
        <v>25</v>
      </c>
      <c r="D5" s="5" t="n">
        <v>40</v>
      </c>
      <c r="E5" s="5" t="n">
        <v>60</v>
      </c>
      <c r="F5" s="5" t="n">
        <v>30</v>
      </c>
      <c r="G5" s="5" t="n">
        <v>50</v>
      </c>
      <c r="H5" s="5" t="n">
        <v>6</v>
      </c>
      <c r="I5" s="5" t="n">
        <v>7.5</v>
      </c>
      <c r="J5" s="6" t="s">
        <v>43</v>
      </c>
    </row>
    <row r="6" customFormat="false" ht="26.85" hidden="false" customHeight="false" outlineLevel="0" collapsed="false">
      <c r="A6" s="4" t="s">
        <v>44</v>
      </c>
      <c r="B6" s="5" t="n">
        <v>20</v>
      </c>
      <c r="C6" s="5" t="n">
        <v>30</v>
      </c>
      <c r="D6" s="5" t="n">
        <v>50</v>
      </c>
      <c r="E6" s="5" t="n">
        <v>70</v>
      </c>
      <c r="F6" s="5" t="n">
        <v>40</v>
      </c>
      <c r="G6" s="5" t="n">
        <v>60</v>
      </c>
      <c r="H6" s="5" t="n">
        <v>6</v>
      </c>
      <c r="I6" s="5" t="n">
        <v>6.8</v>
      </c>
      <c r="J6" s="6" t="s">
        <v>45</v>
      </c>
    </row>
    <row r="7" customFormat="false" ht="26.85" hidden="false" customHeight="false" outlineLevel="0" collapsed="false">
      <c r="A7" s="4" t="s">
        <v>46</v>
      </c>
      <c r="B7" s="5" t="n">
        <v>18</v>
      </c>
      <c r="C7" s="5" t="n">
        <v>30</v>
      </c>
      <c r="D7" s="5" t="n">
        <v>40</v>
      </c>
      <c r="E7" s="5" t="n">
        <v>70</v>
      </c>
      <c r="F7" s="5" t="n">
        <v>35</v>
      </c>
      <c r="G7" s="5" t="n">
        <v>65</v>
      </c>
      <c r="H7" s="5" t="n">
        <v>6</v>
      </c>
      <c r="I7" s="5" t="n">
        <v>7</v>
      </c>
      <c r="J7" s="6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4"/>
  </cols>
  <sheetData>
    <row r="1" customFormat="false" ht="18.55" hidden="false" customHeight="false" outlineLevel="0" collapsed="false">
      <c r="A1" s="7" t="s">
        <v>48</v>
      </c>
      <c r="B1" s="7"/>
      <c r="C1" s="7"/>
      <c r="D1" s="7"/>
      <c r="E1" s="7"/>
      <c r="F1" s="7"/>
    </row>
    <row r="2" customFormat="false" ht="27.75" hidden="false" customHeight="true" outlineLevel="0" collapsed="false">
      <c r="A2" s="8" t="s">
        <v>49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9" t="s">
        <v>50</v>
      </c>
      <c r="B4" s="4" t="n">
        <f aca="false">COUNTA(Readings!A:A)</f>
        <v>4</v>
      </c>
    </row>
    <row r="5" customFormat="false" ht="15" hidden="false" customHeight="false" outlineLevel="0" collapsed="false">
      <c r="A5" s="9" t="s">
        <v>51</v>
      </c>
      <c r="B5" s="4" t="str">
        <f aca="false">INDEX(Readings!B:B,$B$4)</f>
        <v>device-001</v>
      </c>
    </row>
    <row r="6" customFormat="false" ht="15" hidden="false" customHeight="false" outlineLevel="0" collapsed="false">
      <c r="A6" s="9" t="s">
        <v>52</v>
      </c>
      <c r="B6" s="4" t="str">
        <f aca="false">INDEX(Readings!A:A,$B$4)</f>
        <v>2026-09-08T12:00:00</v>
      </c>
    </row>
    <row r="7" customFormat="false" ht="15" hidden="false" customHeight="false" outlineLevel="0" collapsed="false">
      <c r="A7" s="9" t="s">
        <v>53</v>
      </c>
      <c r="B7" s="4" t="str">
        <f aca="false">IFERROR(INDEX(Devices!E:E,MATCH($B$5,Devices!A:A,0)),"Default / Custom")</f>
        <v>Tomato</v>
      </c>
    </row>
    <row r="9" customFormat="false" ht="15" hidden="false" customHeight="false" outlineLevel="0" collapsed="false">
      <c r="A9" s="10" t="s">
        <v>54</v>
      </c>
      <c r="B9" s="10" t="s">
        <v>55</v>
      </c>
      <c r="C9" s="10" t="s">
        <v>56</v>
      </c>
      <c r="D9" s="10" t="s">
        <v>57</v>
      </c>
      <c r="E9" s="10" t="s">
        <v>58</v>
      </c>
      <c r="F9" s="10" t="s">
        <v>59</v>
      </c>
    </row>
    <row r="10" customFormat="false" ht="15" hidden="false" customHeight="false" outlineLevel="0" collapsed="false">
      <c r="A10" s="4" t="s">
        <v>2</v>
      </c>
      <c r="B10" s="11" t="n">
        <f aca="false">INDEX(Readings!C:C,$B$4)</f>
        <v>33.1</v>
      </c>
      <c r="C10" s="11" t="n">
        <f aca="false">INDEX('Optimal Conditions'!B:B,MATCH($B$7,'Optimal Conditions'!A:A,0))</f>
        <v>18</v>
      </c>
      <c r="D10" s="11" t="n">
        <f aca="false">INDEX('Optimal Conditions'!C:C,MATCH($B$7,'Optimal Conditions'!A:A,0))</f>
        <v>30</v>
      </c>
      <c r="E10" s="12" t="str">
        <f aca="false">IF($B$10&lt;$C$10,"Low",IF($B$10&gt;$D$10,"High","Ideal"))</f>
        <v>High</v>
      </c>
      <c r="F10" s="11" t="n">
        <f aca="false">IF(AND($B$10&gt;=$C$10,$B$10&lt;=$D$10),100-ABS($B$10-($C$10+$D$10)/2)/(($D$10-$C$10)/2)*15,MAX(0,85-ABS($B$10-IF($B$10&lt;$C$10,$C$10,$D$10))/(($D$10-$C$10)/2)*40))</f>
        <v>64.3333333333333</v>
      </c>
    </row>
    <row r="11" customFormat="false" ht="15" hidden="false" customHeight="false" outlineLevel="0" collapsed="false">
      <c r="A11" s="4" t="s">
        <v>3</v>
      </c>
      <c r="B11" s="11" t="n">
        <f aca="false">INDEX(Readings!D:D,$B$4)</f>
        <v>34</v>
      </c>
      <c r="C11" s="11" t="n">
        <f aca="false">INDEX('Optimal Conditions'!D:D,MATCH($B$7,'Optimal Conditions'!A:A,0))</f>
        <v>40</v>
      </c>
      <c r="D11" s="11" t="n">
        <f aca="false">INDEX('Optimal Conditions'!E:E,MATCH($B$7,'Optimal Conditions'!A:A,0))</f>
        <v>70</v>
      </c>
      <c r="E11" s="12" t="str">
        <f aca="false">IF($B$11&lt;$C$11,"Low",IF($B$11&gt;$D$11,"High","Ideal"))</f>
        <v>Low</v>
      </c>
      <c r="F11" s="11" t="n">
        <f aca="false">IF(AND($B$11&gt;=$C$11,$B$11&lt;=$D$11),100-ABS($B$11-($C$11+$D$11)/2)/(($D$11-$C$11)/2)*15,MAX(0,85-ABS($B$11-IF($B$11&lt;$C$11,$C$11,$D$11))/(($D$11-$C$11)/2)*40))</f>
        <v>69</v>
      </c>
    </row>
    <row r="12" customFormat="false" ht="15" hidden="false" customHeight="false" outlineLevel="0" collapsed="false">
      <c r="A12" s="4" t="s">
        <v>4</v>
      </c>
      <c r="B12" s="11" t="n">
        <f aca="false">INDEX(Readings!E:E,$B$4)</f>
        <v>27</v>
      </c>
      <c r="C12" s="11" t="n">
        <f aca="false">INDEX('Optimal Conditions'!F:F,MATCH($B$7,'Optimal Conditions'!A:A,0))</f>
        <v>35</v>
      </c>
      <c r="D12" s="11" t="n">
        <f aca="false">INDEX('Optimal Conditions'!G:G,MATCH($B$7,'Optimal Conditions'!A:A,0))</f>
        <v>65</v>
      </c>
      <c r="E12" s="12" t="str">
        <f aca="false">IF($B$12&lt;$C$12,"Low",IF($B$12&gt;$D$12,"High","Ideal"))</f>
        <v>Low</v>
      </c>
      <c r="F12" s="11" t="n">
        <f aca="false">IF(AND($B$12&gt;=$C$12,$B$12&lt;=$D$12),100-ABS($B$12-($C$12+$D$12)/2)/(($D$12-$C$12)/2)*15,MAX(0,85-ABS($B$12-IF($B$12&lt;$C$12,$C$12,$D$12))/(($D$12-$C$12)/2)*40))</f>
        <v>63.6666666666667</v>
      </c>
    </row>
    <row r="13" customFormat="false" ht="15" hidden="false" customHeight="false" outlineLevel="0" collapsed="false">
      <c r="A13" s="4" t="s">
        <v>5</v>
      </c>
      <c r="B13" s="11" t="n">
        <f aca="false">INDEX(Readings!F:F,$B$4)</f>
        <v>7.3</v>
      </c>
      <c r="C13" s="11" t="n">
        <f aca="false">INDEX('Optimal Conditions'!H:H,MATCH($B$7,'Optimal Conditions'!A:A,0))</f>
        <v>6</v>
      </c>
      <c r="D13" s="11" t="n">
        <f aca="false">INDEX('Optimal Conditions'!I:I,MATCH($B$7,'Optimal Conditions'!A:A,0))</f>
        <v>6.8</v>
      </c>
      <c r="E13" s="12" t="str">
        <f aca="false">IF($B$13&lt;$C$13,"Low",IF($B$13&gt;$D$13,"High","Ideal"))</f>
        <v>High</v>
      </c>
      <c r="F13" s="11" t="n">
        <f aca="false">IF(AND($B$13&gt;=$C$13,$B$13&lt;=$D$13),100-ABS($B$13-($C$13+$D$13)/2)/(($D$13-$C$13)/2)*15,MAX(0,85-ABS($B$13-IF($B$13&lt;$C$13,$C$13,$D$13))/(($D$13-$C$13)/2)*40))</f>
        <v>35</v>
      </c>
    </row>
    <row r="15" customFormat="false" ht="19.7" hidden="false" customHeight="false" outlineLevel="0" collapsed="false">
      <c r="A15" s="13" t="s">
        <v>60</v>
      </c>
      <c r="B15" s="14" t="n">
        <f aca="false">ROUND(AVERAGE(F10:F13),1)</f>
        <v>58</v>
      </c>
    </row>
    <row r="16" customFormat="false" ht="15" hidden="false" customHeight="false" outlineLevel="0" collapsed="false">
      <c r="A16" s="15" t="str">
        <f aca="false">IF($B$15&gt;=85,"Conditions are excellent — focus on maintenance, not intervention.",IF($B$15&gt;=65,"Conditions are good with a few areas to fine-tune.",IF($B$15&gt;=45,"Conditions need attention in the next 24 hours.","Conditions require immediate action.")))</f>
        <v>Conditions need attention in the next 24 hours.</v>
      </c>
      <c r="B16" s="15"/>
      <c r="C16" s="15"/>
      <c r="D16" s="15"/>
      <c r="E16" s="15"/>
      <c r="F16" s="15"/>
    </row>
  </sheetData>
  <mergeCells count="3">
    <mergeCell ref="A1:F1"/>
    <mergeCell ref="A2:F2"/>
    <mergeCell ref="A16:F16"/>
  </mergeCells>
  <conditionalFormatting sqref="E10:E13">
    <cfRule type="expression" priority="2" aboveAverage="0" equalAverage="0" bottom="0" percent="0" rank="0" text="" dxfId="0">
      <formula>E10="Ideal"</formula>
    </cfRule>
    <cfRule type="expression" priority="3" aboveAverage="0" equalAverage="0" bottom="0" percent="0" rank="0" text="" dxfId="1">
      <formula>E10="Low"</formula>
    </cfRule>
    <cfRule type="expression" priority="4" aboveAverage="0" equalAverage="0" bottom="0" percent="0" rank="0" text="" dxfId="2">
      <formula>E10="High"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2026-09-08T01:46:55Z</dcterms:created>
  <dc:creator>openpyxl</dc:creator>
  <dc:description/>
  <dc:language>en-US</dc:language>
  <cp:lastModifiedBy/>
  <dcterms:modified xsi:type="dcterms:W3CDTF">2026-09-08T01:47:21Z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